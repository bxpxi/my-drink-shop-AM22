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 defaultThemeVersion="124226"/>
  <xr:revisionPtr revIDLastSave="0" documentId="13_ncr:1_{D37E4FDA-6335-4E54-872E-B4F3625AB7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atement" sheetId="1" r:id="rId1"/>
    <sheet name="F02.CFG-Paths" sheetId="10" r:id="rId2"/>
    <sheet name="F02.TCs" sheetId="11" r:id="rId3"/>
    <sheet name="WBT-TC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4" l="1"/>
  <c r="I16" i="4"/>
  <c r="B16" i="4"/>
</calcChain>
</file>

<file path=xl/sharedStrings.xml><?xml version="1.0" encoding="utf-8"?>
<sst xmlns="http://schemas.openxmlformats.org/spreadsheetml/2006/main" count="203" uniqueCount="114">
  <si>
    <t>…</t>
  </si>
  <si>
    <t>input data</t>
  </si>
  <si>
    <t>output data</t>
  </si>
  <si>
    <t>expected</t>
  </si>
  <si>
    <t>actual result</t>
  </si>
  <si>
    <t>..</t>
  </si>
  <si>
    <t>Final        TC No.</t>
  </si>
  <si>
    <t>...</t>
  </si>
  <si>
    <t>Req. ID</t>
  </si>
  <si>
    <t>Statistics</t>
  </si>
  <si>
    <t>Line No.</t>
  </si>
  <si>
    <t>Source code</t>
  </si>
  <si>
    <t>Predicate+1</t>
  </si>
  <si>
    <t>CC1 = No. of regions =</t>
  </si>
  <si>
    <t>Path No.</t>
  </si>
  <si>
    <t>Path</t>
  </si>
  <si>
    <t>Input</t>
  </si>
  <si>
    <t>Output</t>
  </si>
  <si>
    <t>Coverage</t>
  </si>
  <si>
    <t>Loop (lc)</t>
  </si>
  <si>
    <t>n-1</t>
  </si>
  <si>
    <t>n</t>
  </si>
  <si>
    <t>n+1</t>
  </si>
  <si>
    <t>m&lt;n</t>
  </si>
  <si>
    <t>T</t>
  </si>
  <si>
    <t>F</t>
  </si>
  <si>
    <t>TC No.</t>
  </si>
  <si>
    <t>TC No</t>
  </si>
  <si>
    <t>WBT Implemented TCs</t>
  </si>
  <si>
    <t>Req02_L01</t>
  </si>
  <si>
    <t>Req02_L02</t>
  </si>
  <si>
    <t>Req02_L03</t>
  </si>
  <si>
    <t>&lt;Req02 CFG &gt;</t>
  </si>
  <si>
    <t>Statement (sc)</t>
  </si>
  <si>
    <t>Condition/ decision (dc, cc, dcc, mcc)</t>
  </si>
  <si>
    <t>CC2 = Edges - Nodes + 2 =</t>
  </si>
  <si>
    <t>CC3 = No. of Conditions + 1 =</t>
  </si>
  <si>
    <t xml:space="preserve">Lab03. White-box Testing. Code Coverage </t>
  </si>
  <si>
    <t>#TCs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</si>
  <si>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</si>
  <si>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</t>
    </r>
    <r>
      <rPr>
        <b/>
        <sz val="11"/>
        <color indexed="10"/>
        <rFont val="Calibri"/>
        <family val="2"/>
      </rPr>
      <t>falied</t>
    </r>
  </si>
  <si>
    <r>
      <t xml:space="preserve">#TCs  </t>
    </r>
    <r>
      <rPr>
        <b/>
        <sz val="11"/>
        <color indexed="10"/>
        <rFont val="Calibri"/>
        <family val="2"/>
      </rPr>
      <t>failed</t>
    </r>
  </si>
  <si>
    <t>F02</t>
  </si>
  <si>
    <r>
      <rPr>
        <b/>
        <sz val="11"/>
        <color indexed="8"/>
        <rFont val="Calibri"/>
        <family val="2"/>
      </rPr>
      <t xml:space="preserve">F02. </t>
    </r>
    <r>
      <rPr>
        <sz val="11"/>
        <color indexed="8"/>
        <rFont val="Calibri"/>
        <family val="2"/>
      </rPr>
      <t>cautarea filmelor care au un anumit regizor (sau parti din numele regizorului).</t>
    </r>
  </si>
  <si>
    <t xml:space="preserve">F02. Covered source code </t>
  </si>
  <si>
    <t>F02. Control Flow Graph (CFG)</t>
  </si>
  <si>
    <t>F02. Cyclomatic Complexity (CC)</t>
  </si>
  <si>
    <t>F02. Individual Paths</t>
  </si>
  <si>
    <t>F02_TC01</t>
  </si>
  <si>
    <t>F02_TC02</t>
  </si>
  <si>
    <t>F02_P01</t>
  </si>
  <si>
    <t>F02_P02</t>
  </si>
  <si>
    <t>F02_P03</t>
  </si>
  <si>
    <t>[Unit WBT]</t>
  </si>
  <si>
    <t>Echipa</t>
  </si>
  <si>
    <t>Grupa</t>
  </si>
  <si>
    <t>Student 1:</t>
  </si>
  <si>
    <t>Student 2:</t>
  </si>
  <si>
    <t>Student 3:</t>
  </si>
  <si>
    <t>Numele si prenumele</t>
  </si>
  <si>
    <t>Path (apc)</t>
  </si>
  <si>
    <t>Testare</t>
  </si>
  <si>
    <t>Depanare</t>
  </si>
  <si>
    <t>Re-testare</t>
  </si>
  <si>
    <t>Testare de regresie</t>
  </si>
  <si>
    <r>
      <t>Coverage (%)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</si>
  <si>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#Bugs </t>
    </r>
    <r>
      <rPr>
        <b/>
        <i/>
        <sz val="8"/>
        <color indexed="8"/>
        <rFont val="Calibri"/>
        <family val="2"/>
      </rPr>
      <t>[se va indica numarul de bug-uri identificate prin depanare, la nivelul metodei testate]</t>
    </r>
  </si>
  <si>
    <r>
      <t xml:space="preserve">#Bugs Fixed </t>
    </r>
    <r>
      <rPr>
        <b/>
        <i/>
        <sz val="8"/>
        <color indexed="8"/>
        <rFont val="Calibri"/>
        <family val="2"/>
      </rPr>
      <t>[se va completa cu 'da' dupa depanare]</t>
    </r>
  </si>
  <si>
    <r>
      <rPr>
        <b/>
        <sz val="11"/>
        <color indexed="8"/>
        <rFont val="Calibri"/>
        <family val="2"/>
      </rPr>
      <t xml:space="preserve">Re-testare </t>
    </r>
    <r>
      <rPr>
        <i/>
        <sz val="8"/>
        <color indexed="8"/>
        <rFont val="Calibri"/>
        <family val="2"/>
      </rPr>
      <t>[se va completa cu 'da' dupa retestare]</t>
    </r>
  </si>
  <si>
    <r>
      <t xml:space="preserve">Coverage (%) 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</si>
  <si>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Testare de regresie </t>
    </r>
    <r>
      <rPr>
        <b/>
        <i/>
        <sz val="8"/>
        <color indexed="8"/>
        <rFont val="Calibri"/>
        <family val="2"/>
      </rPr>
      <t>[se va completa cu 'da' dupa testarea de regresie]</t>
    </r>
  </si>
  <si>
    <r>
      <t xml:space="preserve">#TCs </t>
    </r>
    <r>
      <rPr>
        <b/>
        <sz val="11"/>
        <color indexed="17"/>
        <rFont val="Calibri"/>
        <family val="2"/>
      </rPr>
      <t>passed</t>
    </r>
    <r>
      <rPr>
        <b/>
        <sz val="11"/>
        <color indexed="8"/>
        <rFont val="Calibri"/>
        <family val="2"/>
      </rPr>
      <t xml:space="preserve"> </t>
    </r>
    <r>
      <rPr>
        <b/>
        <i/>
        <sz val="8"/>
        <color indexed="8"/>
        <rFont val="Calibri"/>
        <family val="2"/>
      </rPr>
      <t>[de executat in testarea de regresie]</t>
    </r>
  </si>
  <si>
    <t>nu</t>
  </si>
  <si>
    <t>VVSS, Info Romana, 2025-2026</t>
  </si>
  <si>
    <t>Boros Patricia-Ioana</t>
  </si>
  <si>
    <t>Proiectați și implementați cazuri de testare White-Box pentru funcționalitatea F02 din aplicația MyDrinkShop.</t>
  </si>
  <si>
    <t>Testarea se realizează pentru metoda StocService.consuma(Reteta), pe baza criteriilor de acoperire a codului sursă.</t>
  </si>
  <si>
    <t>1. Gestiunea produselor, rețetelor și stocurilor într-un magazin de băuturi</t>
  </si>
  <si>
    <t>Aplicația MyDrinkShop permite gestionarea produselor, rețetelor și stocurilor de ingrediente. Pentru Lab03 se testează funcționalitatea de actualizare a stocului după procesarea unei rețete/comenzi.</t>
  </si>
  <si>
    <t>F02. actualizarea stocurilor ingredientelor în urma procesării unei rețete/comenzi;</t>
  </si>
  <si>
    <t>15-12+2=5</t>
  </si>
  <si>
    <t>4+1=5</t>
  </si>
  <si>
    <t>1 - 2(F) - 3 - 12</t>
  </si>
  <si>
    <t>1 - 2(T) - 4(F) - 5 - 12</t>
  </si>
  <si>
    <t>1 - 2(T) - 4(T) - 6 - 7 - 8(F) - 9 - 4(F) - 5 - 12</t>
  </si>
  <si>
    <t>F02_P04</t>
  </si>
  <si>
    <t>1 - 2(T) - 4(T) - 6 - 7 - 8(T) - 10(T) - 9 - 4(F) - 5 - 12</t>
  </si>
  <si>
    <t>F02_P05</t>
  </si>
  <si>
    <t>1 - 2(T) - 4(T) - 6 - 7 - 8(T) - 10(F) - 11 - 8(F) - 9 - 4(F) - 5 - 12</t>
  </si>
  <si>
    <t>F02. actualizarea stocurilor ingredientelor în urma procesării unei rețete/comenzi.</t>
  </si>
  <si>
    <t xml:space="preserve">areSuficient(reteta) </t>
  </si>
  <si>
    <t>exista ingredient in reteta</t>
  </si>
  <si>
    <t>exista element in ingredienteStoc</t>
  </si>
  <si>
    <t>ramas &lt;= 0</t>
  </si>
  <si>
    <t>reteta</t>
  </si>
  <si>
    <t>exceptie</t>
  </si>
  <si>
    <t>1, 2,3,12</t>
  </si>
  <si>
    <t>x</t>
  </si>
  <si>
    <t>reteta = []</t>
  </si>
  <si>
    <t>1, 2, 4, 5, 12</t>
  </si>
  <si>
    <t>F02_TC03</t>
  </si>
  <si>
    <t>1, 2, 4, 6, 7, 8, 9, 12</t>
  </si>
  <si>
    <t>F02_TC04</t>
  </si>
  <si>
    <t>Nu se arunca exceptie. Nu se modifica nimic in stoc.</t>
  </si>
  <si>
    <r>
      <rPr>
        <sz val="12"/>
        <color theme="1"/>
        <rFont val="Calibri"/>
        <family val="2"/>
        <charset val="238"/>
        <scheme val="minor"/>
      </rPr>
      <t>Nu se arunca exceptie in consuma() daca areSuficient(reteta) a fost evaluat anterior ca adevarat in scenariul testat; bucla interioara nu executa procesare</t>
    </r>
    <r>
      <rPr>
        <sz val="12"/>
        <color rgb="FFFF0000"/>
        <rFont val="Calibri"/>
        <family val="2"/>
        <scheme val="minor"/>
      </rPr>
      <t>.</t>
    </r>
  </si>
  <si>
    <t>1, 2, 4, 6, 7, 8, 10, 9, 12</t>
  </si>
  <si>
    <t>F02_TC05</t>
  </si>
  <si>
    <t>reteta = [lapte: 300] (stoc = [lapte: 100])</t>
  </si>
  <si>
    <t>reteta = [zahar: 50] (stoc = [zahar:0])</t>
  </si>
  <si>
    <t>reteta = [lapte: 100] (stoc = [lapte: 100, lapte: 50])</t>
  </si>
  <si>
    <t>reteta = [lapte: 100] ( stoc = [lapte: 150])</t>
  </si>
  <si>
    <t>Cantitatea este consumata corect, stocul este actualizat, fara exceptie.</t>
  </si>
  <si>
    <t>Se actualizeaza primul element din stoc, apoi bucla interioara se opreste prin break. Al doilea element nu mai este procesat.</t>
  </si>
  <si>
    <t>1, 2, 4, 6, 7, 8, 10, 11, 9, 12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</si>
</sst>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7"/>
      <name val="Calibri"/>
      <family val="2"/>
    </font>
    <font>
      <b/>
      <sz val="11"/>
      <color indexed="10"/>
      <name val="Calibri"/>
      <family val="2"/>
    </font>
    <font>
      <b/>
      <i/>
      <sz val="8"/>
      <color indexed="8"/>
      <name val="Calibri"/>
      <family val="2"/>
    </font>
    <font>
      <i/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charset val="238"/>
      <scheme val="minor"/>
    </font>
    <font>
      <sz val="12"/>
      <color rgb="FFFF0000"/>
      <name val="Calibri"/>
      <family val="2"/>
      <charset val="238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3" xfId="0" applyFont="1" applyBorder="1"/>
    <xf numFmtId="0" fontId="10" fillId="2" borderId="4" xfId="0" applyFont="1" applyFill="1" applyBorder="1" applyAlignment="1">
      <alignment horizontal="center"/>
    </xf>
    <xf numFmtId="0" fontId="11" fillId="2" borderId="4" xfId="0" applyFont="1" applyFill="1" applyBorder="1"/>
    <xf numFmtId="0" fontId="10" fillId="2" borderId="5" xfId="0" applyFont="1" applyFill="1" applyBorder="1"/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/>
    <xf numFmtId="0" fontId="13" fillId="3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0" fontId="14" fillId="0" borderId="8" xfId="0" applyFont="1" applyBorder="1" applyAlignment="1">
      <alignment horizontal="left" vertical="center" wrapText="1"/>
    </xf>
    <xf numFmtId="0" fontId="14" fillId="4" borderId="8" xfId="0" applyFont="1" applyFill="1" applyBorder="1" applyAlignment="1">
      <alignment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vertical="center" wrapText="1"/>
    </xf>
    <xf numFmtId="0" fontId="14" fillId="0" borderId="0" xfId="0" applyFont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0" xfId="0" applyFont="1"/>
    <xf numFmtId="0" fontId="0" fillId="2" borderId="8" xfId="0" applyFill="1" applyBorder="1"/>
    <xf numFmtId="0" fontId="0" fillId="7" borderId="8" xfId="0" applyFill="1" applyBorder="1"/>
    <xf numFmtId="0" fontId="0" fillId="2" borderId="10" xfId="0" applyFill="1" applyBorder="1"/>
    <xf numFmtId="0" fontId="0" fillId="0" borderId="8" xfId="0" applyBorder="1"/>
    <xf numFmtId="0" fontId="0" fillId="2" borderId="11" xfId="0" applyFill="1" applyBorder="1"/>
    <xf numFmtId="0" fontId="0" fillId="7" borderId="10" xfId="0" applyFill="1" applyBorder="1"/>
    <xf numFmtId="0" fontId="0" fillId="2" borderId="12" xfId="0" applyFill="1" applyBorder="1"/>
    <xf numFmtId="0" fontId="7" fillId="8" borderId="0" xfId="0" applyFont="1" applyFill="1" applyAlignment="1">
      <alignment horizontal="center"/>
    </xf>
    <xf numFmtId="0" fontId="7" fillId="9" borderId="8" xfId="0" applyFont="1" applyFill="1" applyBorder="1" applyAlignment="1">
      <alignment horizontal="center"/>
    </xf>
    <xf numFmtId="0" fontId="7" fillId="9" borderId="0" xfId="0" applyFont="1" applyFill="1" applyAlignment="1">
      <alignment horizontal="center"/>
    </xf>
    <xf numFmtId="0" fontId="0" fillId="0" borderId="8" xfId="0" applyBorder="1" applyAlignment="1">
      <alignment horizontal="right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6" fillId="0" borderId="0" xfId="0" applyFont="1"/>
    <xf numFmtId="0" fontId="17" fillId="0" borderId="0" xfId="0" applyFont="1"/>
    <xf numFmtId="0" fontId="19" fillId="0" borderId="8" xfId="0" applyFont="1" applyBorder="1" applyAlignment="1">
      <alignment horizontal="left" vertical="center" wrapText="1"/>
    </xf>
    <xf numFmtId="0" fontId="18" fillId="0" borderId="0" xfId="0" applyFont="1"/>
    <xf numFmtId="0" fontId="7" fillId="11" borderId="30" xfId="0" applyFont="1" applyFill="1" applyBorder="1" applyAlignment="1">
      <alignment horizontal="center" vertical="center"/>
    </xf>
    <xf numFmtId="0" fontId="7" fillId="11" borderId="3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/>
    </xf>
    <xf numFmtId="0" fontId="7" fillId="8" borderId="13" xfId="0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/>
    </xf>
    <xf numFmtId="0" fontId="7" fillId="11" borderId="8" xfId="0" applyFont="1" applyFill="1" applyBorder="1" applyAlignment="1">
      <alignment horizontal="center"/>
    </xf>
    <xf numFmtId="0" fontId="7" fillId="0" borderId="20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12" borderId="35" xfId="0" applyFont="1" applyFill="1" applyBorder="1" applyAlignment="1">
      <alignment horizontal="center" vertical="center"/>
    </xf>
    <xf numFmtId="0" fontId="7" fillId="12" borderId="36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8" borderId="32" xfId="0" applyFont="1" applyFill="1" applyBorder="1" applyAlignment="1">
      <alignment horizontal="center" vertical="center"/>
    </xf>
    <xf numFmtId="0" fontId="7" fillId="8" borderId="26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11" borderId="33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10" borderId="25" xfId="0" applyFont="1" applyFill="1" applyBorder="1" applyAlignment="1">
      <alignment horizontal="center" vertical="center"/>
    </xf>
    <xf numFmtId="0" fontId="7" fillId="10" borderId="26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7" borderId="2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0" fillId="0" borderId="8" xfId="0" applyBorder="1" applyAlignment="1">
      <alignment horizontal="left"/>
    </xf>
    <xf numFmtId="0" fontId="1" fillId="8" borderId="11" xfId="0" applyFont="1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9" borderId="8" xfId="0" applyFont="1" applyFill="1" applyBorder="1" applyAlignment="1">
      <alignment horizontal="center"/>
    </xf>
    <xf numFmtId="0" fontId="13" fillId="0" borderId="8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0" borderId="20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597646</xdr:colOff>
      <xdr:row>6</xdr:row>
      <xdr:rowOff>171822</xdr:rowOff>
    </xdr:from>
    <xdr:to>
      <xdr:col>7</xdr:col>
      <xdr:colOff>244178</xdr:colOff>
      <xdr:row>25</xdr:row>
      <xdr:rowOff>52561</xdr:rowOff>
    </xdr:to>
    <xdr:pic>
      <xdr:nvPicPr>
        <xdr:cNvPr id="3" name="Imagine 2">
          <a:extLst>
            <a:ext uri="{FF2B5EF4-FFF2-40B4-BE49-F238E27FC236}">
              <a16:creationId xmlns:a16="http://schemas.microsoft.com/office/drawing/2014/main" id="{B41FD8AB-21BC-301E-0A1A-A8C89B363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646" y="1292410"/>
          <a:ext cx="4069120" cy="3429269"/>
        </a:xfrm>
        <a:prstGeom prst="rect">
          <a:avLst/>
        </a:prstGeom>
      </xdr:spPr>
    </xdr:pic>
    <xdr:clientData/>
  </xdr:twoCellAnchor>
  <xdr:twoCellAnchor editAs="oneCell">
    <xdr:from>
      <xdr:col>7</xdr:col>
      <xdr:colOff>560295</xdr:colOff>
      <xdr:row>8</xdr:row>
      <xdr:rowOff>74706</xdr:rowOff>
    </xdr:from>
    <xdr:to>
      <xdr:col>15</xdr:col>
      <xdr:colOff>315075</xdr:colOff>
      <xdr:row>24</xdr:row>
      <xdr:rowOff>59765</xdr:rowOff>
    </xdr:to>
    <xdr:pic>
      <xdr:nvPicPr>
        <xdr:cNvPr id="6" name="Imagine 5">
          <a:extLst>
            <a:ext uri="{FF2B5EF4-FFF2-40B4-BE49-F238E27FC236}">
              <a16:creationId xmlns:a16="http://schemas.microsoft.com/office/drawing/2014/main" id="{6CE1F7A9-D628-34DE-6D44-5DA3BB3C7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2883" y="1568824"/>
          <a:ext cx="4715251" cy="29732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B1:P20"/>
  <sheetViews>
    <sheetView tabSelected="1" workbookViewId="0">
      <selection activeCell="B12" sqref="B12"/>
    </sheetView>
  </sheetViews>
  <sheetFormatPr defaultColWidth="8.90625" defaultRowHeight="14.5" x14ac:dyDescent="0.35"/>
  <cols>
    <col min="15" max="15" width="19.6328125" customWidth="1"/>
  </cols>
  <sheetData>
    <row r="1" spans="2:16" x14ac:dyDescent="0.35">
      <c r="B1" s="12"/>
      <c r="D1" s="44" t="s">
        <v>73</v>
      </c>
      <c r="E1" s="45"/>
      <c r="F1" s="45"/>
      <c r="G1" s="46"/>
    </row>
    <row r="2" spans="2:16" x14ac:dyDescent="0.35">
      <c r="B2" s="39"/>
    </row>
    <row r="4" spans="2:16" x14ac:dyDescent="0.35">
      <c r="B4" s="1" t="s">
        <v>53</v>
      </c>
      <c r="N4" s="5" t="s">
        <v>37</v>
      </c>
      <c r="O4" s="5"/>
      <c r="P4" s="5"/>
    </row>
    <row r="5" spans="2:16" x14ac:dyDescent="0.35">
      <c r="B5" s="1" t="s">
        <v>75</v>
      </c>
      <c r="N5" s="35" t="s">
        <v>54</v>
      </c>
      <c r="O5" s="35"/>
      <c r="P5" s="35"/>
    </row>
    <row r="6" spans="2:16" x14ac:dyDescent="0.35">
      <c r="B6" s="1" t="s">
        <v>76</v>
      </c>
      <c r="N6" s="27"/>
      <c r="O6" s="27" t="s">
        <v>59</v>
      </c>
      <c r="P6" s="27" t="s">
        <v>55</v>
      </c>
    </row>
    <row r="7" spans="2:16" x14ac:dyDescent="0.35">
      <c r="B7" s="1"/>
      <c r="C7" s="1"/>
      <c r="D7" s="1"/>
      <c r="E7" s="1"/>
      <c r="N7" s="27" t="s">
        <v>56</v>
      </c>
      <c r="O7" s="27" t="s">
        <v>74</v>
      </c>
      <c r="P7" s="27">
        <v>231</v>
      </c>
    </row>
    <row r="8" spans="2:16" x14ac:dyDescent="0.35">
      <c r="B8" s="1"/>
      <c r="C8" s="1"/>
      <c r="D8" s="1"/>
      <c r="E8" s="1"/>
      <c r="N8" s="27" t="s">
        <v>57</v>
      </c>
      <c r="O8" s="27"/>
      <c r="P8" s="27"/>
    </row>
    <row r="9" spans="2:16" x14ac:dyDescent="0.35">
      <c r="B9" t="s">
        <v>77</v>
      </c>
      <c r="C9" s="1"/>
      <c r="D9" s="1"/>
      <c r="E9" s="1"/>
      <c r="N9" s="27" t="s">
        <v>58</v>
      </c>
      <c r="O9" s="27"/>
      <c r="P9" s="27"/>
    </row>
    <row r="10" spans="2:16" x14ac:dyDescent="0.35">
      <c r="B10" t="s">
        <v>78</v>
      </c>
      <c r="C10" s="1"/>
      <c r="D10" s="1"/>
      <c r="E10" s="1"/>
    </row>
    <row r="11" spans="2:16" x14ac:dyDescent="0.35">
      <c r="B11" s="37" t="s">
        <v>79</v>
      </c>
      <c r="C11" s="1"/>
      <c r="D11" s="1"/>
      <c r="E11" s="1"/>
    </row>
    <row r="12" spans="2:16" x14ac:dyDescent="0.35">
      <c r="C12" s="1"/>
      <c r="D12" s="1"/>
      <c r="E12" s="1"/>
    </row>
    <row r="19" spans="2:2" x14ac:dyDescent="0.35">
      <c r="B19" s="1"/>
    </row>
    <row r="20" spans="2:2" x14ac:dyDescent="0.35">
      <c r="B20" s="1"/>
    </row>
  </sheetData>
  <mergeCells count="1">
    <mergeCell ref="D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B1:T24"/>
  <sheetViews>
    <sheetView topLeftCell="A2" zoomScale="85" zoomScaleNormal="85" workbookViewId="0">
      <selection activeCell="S23" sqref="S23"/>
    </sheetView>
  </sheetViews>
  <sheetFormatPr defaultColWidth="8.90625" defaultRowHeight="14.5" x14ac:dyDescent="0.35"/>
  <cols>
    <col min="2" max="2" width="10" customWidth="1"/>
    <col min="17" max="17" width="10.6328125" customWidth="1"/>
  </cols>
  <sheetData>
    <row r="1" spans="2:20" x14ac:dyDescent="0.35">
      <c r="B1" s="12"/>
      <c r="D1" s="44" t="s">
        <v>73</v>
      </c>
      <c r="E1" s="45"/>
      <c r="F1" s="45"/>
      <c r="G1" s="45"/>
      <c r="H1" s="45"/>
      <c r="I1" s="46"/>
    </row>
    <row r="3" spans="2:20" x14ac:dyDescent="0.35">
      <c r="B3" s="85" t="s">
        <v>43</v>
      </c>
      <c r="C3" s="86"/>
      <c r="D3" s="86"/>
      <c r="E3" s="86"/>
      <c r="F3" s="86"/>
      <c r="G3" s="86"/>
      <c r="H3" s="86"/>
      <c r="I3" s="86"/>
      <c r="J3" s="86"/>
      <c r="K3" s="87"/>
    </row>
    <row r="6" spans="2:20" x14ac:dyDescent="0.35">
      <c r="B6" s="44" t="s">
        <v>44</v>
      </c>
      <c r="C6" s="45"/>
      <c r="D6" s="45"/>
      <c r="E6" s="46"/>
      <c r="F6" s="31"/>
      <c r="G6" s="31"/>
      <c r="I6" s="44" t="s">
        <v>45</v>
      </c>
      <c r="J6" s="45"/>
      <c r="K6" s="45"/>
      <c r="L6" s="45"/>
      <c r="M6" s="45"/>
      <c r="N6" s="45"/>
      <c r="O6" s="45"/>
      <c r="Q6" s="44" t="s">
        <v>46</v>
      </c>
      <c r="R6" s="45"/>
      <c r="S6" s="45"/>
      <c r="T6" s="45"/>
    </row>
    <row r="8" spans="2:20" x14ac:dyDescent="0.35">
      <c r="B8" s="32" t="s">
        <v>10</v>
      </c>
      <c r="C8" s="99" t="s">
        <v>11</v>
      </c>
      <c r="D8" s="99"/>
      <c r="E8" s="99"/>
      <c r="F8" s="33"/>
      <c r="G8" s="33"/>
      <c r="I8" s="12"/>
      <c r="Q8" s="98" t="s">
        <v>13</v>
      </c>
      <c r="R8" s="98"/>
      <c r="S8" s="98"/>
      <c r="T8" s="34">
        <v>5</v>
      </c>
    </row>
    <row r="9" spans="2:20" x14ac:dyDescent="0.35">
      <c r="B9" s="35" t="s">
        <v>29</v>
      </c>
      <c r="C9" s="88" t="s">
        <v>0</v>
      </c>
      <c r="D9" s="88"/>
      <c r="E9" s="88"/>
      <c r="F9" s="36"/>
      <c r="G9" s="36"/>
      <c r="I9" s="38"/>
      <c r="Q9" s="98" t="s">
        <v>35</v>
      </c>
      <c r="R9" s="98"/>
      <c r="S9" s="98"/>
      <c r="T9" s="34" t="s">
        <v>80</v>
      </c>
    </row>
    <row r="10" spans="2:20" x14ac:dyDescent="0.35">
      <c r="B10" s="35" t="s">
        <v>30</v>
      </c>
      <c r="C10" s="88" t="s">
        <v>0</v>
      </c>
      <c r="D10" s="88"/>
      <c r="E10" s="88"/>
      <c r="F10" s="36"/>
      <c r="G10" s="36"/>
      <c r="I10" s="89" t="s">
        <v>32</v>
      </c>
      <c r="J10" s="90"/>
      <c r="K10" s="90"/>
      <c r="L10" s="90"/>
      <c r="M10" s="90"/>
      <c r="N10" s="90"/>
      <c r="O10" s="91"/>
      <c r="Q10" s="98" t="s">
        <v>36</v>
      </c>
      <c r="R10" s="98" t="s">
        <v>12</v>
      </c>
      <c r="S10" s="98"/>
      <c r="T10" s="34" t="s">
        <v>81</v>
      </c>
    </row>
    <row r="11" spans="2:20" x14ac:dyDescent="0.35">
      <c r="B11" s="35" t="s">
        <v>31</v>
      </c>
      <c r="C11" s="88" t="s">
        <v>0</v>
      </c>
      <c r="D11" s="88"/>
      <c r="E11" s="88"/>
      <c r="F11" s="36"/>
      <c r="G11" s="36"/>
      <c r="I11" s="92"/>
      <c r="J11" s="93"/>
      <c r="K11" s="93"/>
      <c r="L11" s="93"/>
      <c r="M11" s="93"/>
      <c r="N11" s="93"/>
      <c r="O11" s="94"/>
    </row>
    <row r="12" spans="2:20" x14ac:dyDescent="0.35">
      <c r="B12" s="35" t="s">
        <v>7</v>
      </c>
      <c r="C12" s="88" t="s">
        <v>0</v>
      </c>
      <c r="D12" s="88"/>
      <c r="E12" s="88"/>
      <c r="F12" s="36"/>
      <c r="G12" s="36"/>
      <c r="I12" s="92"/>
      <c r="J12" s="93"/>
      <c r="K12" s="93"/>
      <c r="L12" s="93"/>
      <c r="M12" s="93"/>
      <c r="N12" s="93"/>
      <c r="O12" s="94"/>
    </row>
    <row r="13" spans="2:20" x14ac:dyDescent="0.35">
      <c r="B13" s="35" t="s">
        <v>5</v>
      </c>
      <c r="C13" s="88" t="s">
        <v>0</v>
      </c>
      <c r="D13" s="88"/>
      <c r="E13" s="88"/>
      <c r="F13" s="36"/>
      <c r="G13" s="36"/>
      <c r="I13" s="92"/>
      <c r="J13" s="93"/>
      <c r="K13" s="93"/>
      <c r="L13" s="93"/>
      <c r="M13" s="93"/>
      <c r="N13" s="93"/>
      <c r="O13" s="94"/>
      <c r="Q13" s="44" t="s">
        <v>47</v>
      </c>
      <c r="R13" s="45"/>
      <c r="S13" s="45"/>
      <c r="T13" s="45"/>
    </row>
    <row r="14" spans="2:20" x14ac:dyDescent="0.35">
      <c r="B14" s="35" t="s">
        <v>7</v>
      </c>
      <c r="C14" s="88" t="s">
        <v>0</v>
      </c>
      <c r="D14" s="88"/>
      <c r="E14" s="88"/>
      <c r="F14" s="36"/>
      <c r="G14" s="36"/>
      <c r="I14" s="92"/>
      <c r="J14" s="93"/>
      <c r="K14" s="93"/>
      <c r="L14" s="93"/>
      <c r="M14" s="93"/>
      <c r="N14" s="93"/>
      <c r="O14" s="94"/>
    </row>
    <row r="15" spans="2:20" x14ac:dyDescent="0.35">
      <c r="I15" s="92"/>
      <c r="J15" s="93"/>
      <c r="K15" s="93"/>
      <c r="L15" s="93"/>
      <c r="M15" s="93"/>
      <c r="N15" s="93"/>
      <c r="O15" s="94"/>
      <c r="Q15" s="32" t="s">
        <v>14</v>
      </c>
      <c r="R15" s="99" t="s">
        <v>15</v>
      </c>
      <c r="S15" s="99"/>
      <c r="T15" s="99"/>
    </row>
    <row r="16" spans="2:20" x14ac:dyDescent="0.35">
      <c r="I16" s="92"/>
      <c r="J16" s="93"/>
      <c r="K16" s="93"/>
      <c r="L16" s="93"/>
      <c r="M16" s="93"/>
      <c r="N16" s="93"/>
      <c r="O16" s="94"/>
      <c r="Q16" s="35" t="s">
        <v>50</v>
      </c>
      <c r="R16" s="84" t="s">
        <v>82</v>
      </c>
      <c r="S16" s="84"/>
      <c r="T16" s="84"/>
    </row>
    <row r="17" spans="9:20" x14ac:dyDescent="0.35">
      <c r="I17" s="92"/>
      <c r="J17" s="93"/>
      <c r="K17" s="93"/>
      <c r="L17" s="93"/>
      <c r="M17" s="93"/>
      <c r="N17" s="93"/>
      <c r="O17" s="94"/>
      <c r="Q17" s="35" t="s">
        <v>51</v>
      </c>
      <c r="R17" s="84" t="s">
        <v>83</v>
      </c>
      <c r="S17" s="84"/>
      <c r="T17" s="84"/>
    </row>
    <row r="18" spans="9:20" x14ac:dyDescent="0.35">
      <c r="I18" s="92"/>
      <c r="J18" s="93"/>
      <c r="K18" s="93"/>
      <c r="L18" s="93"/>
      <c r="M18" s="93"/>
      <c r="N18" s="93"/>
      <c r="O18" s="94"/>
      <c r="Q18" s="35" t="s">
        <v>52</v>
      </c>
      <c r="R18" s="84" t="s">
        <v>84</v>
      </c>
      <c r="S18" s="84"/>
      <c r="T18" s="84"/>
    </row>
    <row r="19" spans="9:20" x14ac:dyDescent="0.35">
      <c r="I19" s="92"/>
      <c r="J19" s="93"/>
      <c r="K19" s="93"/>
      <c r="L19" s="93"/>
      <c r="M19" s="93"/>
      <c r="N19" s="93"/>
      <c r="O19" s="94"/>
      <c r="Q19" s="35" t="s">
        <v>85</v>
      </c>
      <c r="R19" s="84" t="s">
        <v>86</v>
      </c>
      <c r="S19" s="84"/>
      <c r="T19" s="84"/>
    </row>
    <row r="20" spans="9:20" x14ac:dyDescent="0.35">
      <c r="I20" s="92"/>
      <c r="J20" s="93"/>
      <c r="K20" s="93"/>
      <c r="L20" s="93"/>
      <c r="M20" s="93"/>
      <c r="N20" s="93"/>
      <c r="O20" s="94"/>
      <c r="Q20" s="35" t="s">
        <v>87</v>
      </c>
      <c r="R20" s="84" t="s">
        <v>88</v>
      </c>
      <c r="S20" s="84"/>
      <c r="T20" s="84"/>
    </row>
    <row r="21" spans="9:20" x14ac:dyDescent="0.35">
      <c r="I21" s="92"/>
      <c r="J21" s="93"/>
      <c r="K21" s="93"/>
      <c r="L21" s="93"/>
      <c r="M21" s="93"/>
      <c r="N21" s="93"/>
      <c r="O21" s="94"/>
      <c r="Q21" s="35"/>
      <c r="R21" s="84"/>
      <c r="S21" s="84"/>
      <c r="T21" s="84"/>
    </row>
    <row r="22" spans="9:20" x14ac:dyDescent="0.35">
      <c r="I22" s="92"/>
      <c r="J22" s="93"/>
      <c r="K22" s="93"/>
      <c r="L22" s="93"/>
      <c r="M22" s="93"/>
      <c r="N22" s="93"/>
      <c r="O22" s="94"/>
    </row>
    <row r="23" spans="9:20" x14ac:dyDescent="0.35">
      <c r="I23" s="92"/>
      <c r="J23" s="93"/>
      <c r="K23" s="93"/>
      <c r="L23" s="93"/>
      <c r="M23" s="93"/>
      <c r="N23" s="93"/>
      <c r="O23" s="94"/>
    </row>
    <row r="24" spans="9:20" x14ac:dyDescent="0.35">
      <c r="I24" s="95"/>
      <c r="J24" s="96"/>
      <c r="K24" s="96"/>
      <c r="L24" s="96"/>
      <c r="M24" s="96"/>
      <c r="N24" s="96"/>
      <c r="O24" s="97"/>
    </row>
  </sheetData>
  <mergeCells count="24">
    <mergeCell ref="R18:T18"/>
    <mergeCell ref="C9:E9"/>
    <mergeCell ref="Q9:S9"/>
    <mergeCell ref="R16:T16"/>
    <mergeCell ref="C12:E12"/>
    <mergeCell ref="C13:E13"/>
    <mergeCell ref="Q13:T13"/>
    <mergeCell ref="C14:E14"/>
    <mergeCell ref="D1:I1"/>
    <mergeCell ref="R20:T20"/>
    <mergeCell ref="R21:T21"/>
    <mergeCell ref="B3:K3"/>
    <mergeCell ref="C10:E10"/>
    <mergeCell ref="I10:O24"/>
    <mergeCell ref="Q10:S10"/>
    <mergeCell ref="C11:E11"/>
    <mergeCell ref="R15:T15"/>
    <mergeCell ref="C8:E8"/>
    <mergeCell ref="Q8:S8"/>
    <mergeCell ref="B6:E6"/>
    <mergeCell ref="I6:O6"/>
    <mergeCell ref="Q6:T6"/>
    <mergeCell ref="R17:T17"/>
    <mergeCell ref="R19:T1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B1:AB16"/>
  <sheetViews>
    <sheetView topLeftCell="A6" zoomScale="70" zoomScaleNormal="70" workbookViewId="0">
      <selection activeCell="C19" sqref="C19"/>
    </sheetView>
  </sheetViews>
  <sheetFormatPr defaultColWidth="8.90625" defaultRowHeight="14.5" x14ac:dyDescent="0.35"/>
  <cols>
    <col min="2" max="2" width="12.26953125" customWidth="1"/>
    <col min="3" max="4" width="18.1796875" bestFit="1" customWidth="1"/>
    <col min="5" max="5" width="19.81640625" bestFit="1" customWidth="1"/>
    <col min="6" max="6" width="8.1796875" customWidth="1"/>
    <col min="7" max="7" width="11.453125" bestFit="1" customWidth="1"/>
    <col min="8" max="8" width="11.1796875" customWidth="1"/>
    <col min="9" max="9" width="9.26953125" customWidth="1"/>
    <col min="10" max="10" width="14.6328125" customWidth="1"/>
    <col min="11" max="11" width="6.08984375" customWidth="1"/>
    <col min="12" max="12" width="6.453125" customWidth="1"/>
    <col min="13" max="13" width="5" customWidth="1"/>
    <col min="15" max="15" width="11.81640625" customWidth="1"/>
    <col min="16" max="16" width="8.81640625" customWidth="1"/>
    <col min="17" max="17" width="8.90625" customWidth="1"/>
    <col min="21" max="21" width="9.08984375" customWidth="1"/>
    <col min="22" max="22" width="2.1796875" bestFit="1" customWidth="1"/>
    <col min="23" max="24" width="2.08984375" bestFit="1" customWidth="1"/>
    <col min="25" max="25" width="3.54296875" bestFit="1" customWidth="1"/>
    <col min="26" max="26" width="2.1796875" bestFit="1" customWidth="1"/>
    <col min="27" max="27" width="4.08984375" bestFit="1" customWidth="1"/>
    <col min="28" max="28" width="5.1796875" bestFit="1" customWidth="1"/>
  </cols>
  <sheetData>
    <row r="1" spans="2:28" x14ac:dyDescent="0.35">
      <c r="B1" s="12"/>
      <c r="D1" s="44" t="s">
        <v>73</v>
      </c>
      <c r="E1" s="45"/>
      <c r="F1" s="45"/>
      <c r="G1" s="46"/>
    </row>
    <row r="3" spans="2:28" x14ac:dyDescent="0.35">
      <c r="B3" s="85" t="s">
        <v>89</v>
      </c>
      <c r="C3" s="86"/>
      <c r="D3" s="86"/>
      <c r="E3" s="86"/>
      <c r="F3" s="87"/>
    </row>
    <row r="5" spans="2:28" x14ac:dyDescent="0.35">
      <c r="B5" s="11"/>
    </row>
    <row r="6" spans="2:28" ht="15.5" x14ac:dyDescent="0.35">
      <c r="B6" s="100" t="s">
        <v>26</v>
      </c>
      <c r="C6" s="100" t="s">
        <v>16</v>
      </c>
      <c r="D6" s="101" t="s">
        <v>17</v>
      </c>
      <c r="E6" s="100" t="s">
        <v>18</v>
      </c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</row>
    <row r="7" spans="2:28" ht="15.5" x14ac:dyDescent="0.35">
      <c r="B7" s="100"/>
      <c r="C7" s="100"/>
      <c r="D7" s="102"/>
      <c r="E7" s="108" t="s">
        <v>33</v>
      </c>
      <c r="F7" s="106" t="s">
        <v>34</v>
      </c>
      <c r="G7" s="106"/>
      <c r="H7" s="106"/>
      <c r="I7" s="106"/>
      <c r="J7" s="106"/>
      <c r="K7" s="106"/>
      <c r="L7" s="106"/>
      <c r="M7" s="106"/>
      <c r="N7" s="106"/>
      <c r="O7" s="106"/>
      <c r="P7" s="107" t="s">
        <v>60</v>
      </c>
      <c r="Q7" s="107"/>
      <c r="R7" s="107"/>
      <c r="S7" s="107"/>
      <c r="T7" s="107"/>
      <c r="U7" s="107"/>
      <c r="V7" s="103" t="s">
        <v>19</v>
      </c>
      <c r="W7" s="103"/>
      <c r="X7" s="103"/>
      <c r="Y7" s="103"/>
      <c r="Z7" s="103"/>
      <c r="AA7" s="103"/>
      <c r="AB7" s="103"/>
    </row>
    <row r="8" spans="2:28" ht="15.65" customHeight="1" x14ac:dyDescent="0.35">
      <c r="B8" s="100"/>
      <c r="C8" s="104" t="s">
        <v>94</v>
      </c>
      <c r="D8" s="104"/>
      <c r="E8" s="108"/>
      <c r="F8" s="106" t="s">
        <v>90</v>
      </c>
      <c r="G8" s="106"/>
      <c r="H8" s="106" t="s">
        <v>91</v>
      </c>
      <c r="I8" s="106"/>
      <c r="J8" s="106" t="s">
        <v>92</v>
      </c>
      <c r="K8" s="106"/>
      <c r="L8" s="106" t="s">
        <v>93</v>
      </c>
      <c r="M8" s="106"/>
      <c r="N8" s="107" t="s">
        <v>50</v>
      </c>
      <c r="O8" s="107" t="s">
        <v>51</v>
      </c>
      <c r="P8" s="107" t="s">
        <v>52</v>
      </c>
      <c r="Q8" s="107" t="s">
        <v>85</v>
      </c>
      <c r="R8" s="107" t="s">
        <v>87</v>
      </c>
      <c r="S8" s="103">
        <v>0</v>
      </c>
      <c r="T8" s="103">
        <v>1</v>
      </c>
      <c r="U8" s="103">
        <v>2</v>
      </c>
      <c r="V8" s="103" t="s">
        <v>20</v>
      </c>
      <c r="W8" s="103" t="s">
        <v>21</v>
      </c>
      <c r="X8" s="103" t="s">
        <v>22</v>
      </c>
      <c r="Y8" s="103" t="s">
        <v>23</v>
      </c>
    </row>
    <row r="9" spans="2:28" ht="15.5" x14ac:dyDescent="0.35">
      <c r="B9" s="100"/>
      <c r="C9" s="105"/>
      <c r="D9" s="105"/>
      <c r="E9" s="108"/>
      <c r="F9" s="13" t="s">
        <v>24</v>
      </c>
      <c r="G9" s="13" t="s">
        <v>25</v>
      </c>
      <c r="H9" s="13" t="s">
        <v>24</v>
      </c>
      <c r="I9" s="13" t="s">
        <v>25</v>
      </c>
      <c r="J9" s="13" t="s">
        <v>24</v>
      </c>
      <c r="K9" s="13" t="s">
        <v>25</v>
      </c>
      <c r="L9" s="13" t="s">
        <v>24</v>
      </c>
      <c r="M9" s="13" t="s">
        <v>25</v>
      </c>
      <c r="N9" s="107"/>
      <c r="O9" s="107"/>
      <c r="P9" s="107"/>
      <c r="Q9" s="107"/>
      <c r="R9" s="107"/>
      <c r="S9" s="103"/>
      <c r="T9" s="103"/>
      <c r="U9" s="103"/>
      <c r="V9" s="103"/>
      <c r="W9" s="103"/>
      <c r="X9" s="103"/>
      <c r="Y9" s="103"/>
    </row>
    <row r="10" spans="2:28" ht="46.5" x14ac:dyDescent="0.35">
      <c r="B10" s="14" t="s">
        <v>48</v>
      </c>
      <c r="C10" s="14" t="s">
        <v>107</v>
      </c>
      <c r="D10" s="15" t="s">
        <v>95</v>
      </c>
      <c r="E10" s="16" t="s">
        <v>96</v>
      </c>
      <c r="F10" s="17"/>
      <c r="G10" s="17" t="s">
        <v>97</v>
      </c>
      <c r="H10" s="17"/>
      <c r="I10" s="17"/>
      <c r="J10" s="17"/>
      <c r="K10" s="17"/>
      <c r="L10" s="17"/>
      <c r="M10" s="17"/>
      <c r="N10" s="18" t="s">
        <v>97</v>
      </c>
      <c r="O10" s="18"/>
      <c r="P10" s="18"/>
      <c r="Q10" s="18"/>
      <c r="R10" s="18"/>
      <c r="S10" s="19"/>
      <c r="T10" s="19"/>
      <c r="U10" s="19"/>
      <c r="V10" s="19"/>
      <c r="W10" s="19"/>
      <c r="X10" s="19"/>
      <c r="Y10" s="19"/>
    </row>
    <row r="11" spans="2:28" ht="62" x14ac:dyDescent="0.35">
      <c r="B11" s="14" t="s">
        <v>49</v>
      </c>
      <c r="C11" s="14" t="s">
        <v>98</v>
      </c>
      <c r="D11" s="15" t="s">
        <v>103</v>
      </c>
      <c r="E11" s="16" t="s">
        <v>99</v>
      </c>
      <c r="F11" s="17" t="s">
        <v>97</v>
      </c>
      <c r="G11" s="17"/>
      <c r="H11" s="17"/>
      <c r="I11" s="17" t="s">
        <v>97</v>
      </c>
      <c r="J11" s="17"/>
      <c r="K11" s="17"/>
      <c r="L11" s="17"/>
      <c r="M11" s="17"/>
      <c r="N11" s="18"/>
      <c r="O11" s="18" t="s">
        <v>97</v>
      </c>
      <c r="P11" s="18"/>
      <c r="Q11" s="18"/>
      <c r="R11" s="18"/>
      <c r="S11" s="19" t="s">
        <v>97</v>
      </c>
      <c r="T11" s="19"/>
      <c r="U11" s="19"/>
      <c r="V11" s="19"/>
      <c r="W11" s="19"/>
      <c r="X11" s="19"/>
      <c r="Y11" s="19"/>
    </row>
    <row r="12" spans="2:28" ht="170.5" x14ac:dyDescent="0.35">
      <c r="B12" s="14" t="s">
        <v>100</v>
      </c>
      <c r="C12" s="41" t="s">
        <v>108</v>
      </c>
      <c r="D12" s="40" t="s">
        <v>104</v>
      </c>
      <c r="E12" s="16" t="s">
        <v>101</v>
      </c>
      <c r="F12" s="17" t="s">
        <v>97</v>
      </c>
      <c r="G12" s="17"/>
      <c r="H12" s="17" t="s">
        <v>97</v>
      </c>
      <c r="I12" s="17"/>
      <c r="J12" s="17"/>
      <c r="K12" s="17" t="s">
        <v>97</v>
      </c>
      <c r="L12" s="17"/>
      <c r="M12" s="17"/>
      <c r="N12" s="18"/>
      <c r="O12" s="18"/>
      <c r="P12" s="18" t="s">
        <v>97</v>
      </c>
      <c r="Q12" s="18"/>
      <c r="R12" s="18"/>
      <c r="S12" s="19" t="s">
        <v>97</v>
      </c>
      <c r="T12" s="19"/>
      <c r="U12" s="19"/>
      <c r="V12" s="19"/>
      <c r="W12" s="19"/>
      <c r="X12" s="19"/>
      <c r="Y12" s="19"/>
    </row>
    <row r="13" spans="2:28" ht="124" x14ac:dyDescent="0.35">
      <c r="B13" s="14" t="s">
        <v>102</v>
      </c>
      <c r="C13" s="14" t="s">
        <v>109</v>
      </c>
      <c r="D13" s="15" t="s">
        <v>112</v>
      </c>
      <c r="E13" s="16" t="s">
        <v>105</v>
      </c>
      <c r="F13" s="17" t="s">
        <v>97</v>
      </c>
      <c r="G13" s="17"/>
      <c r="H13" s="17" t="s">
        <v>97</v>
      </c>
      <c r="I13" s="17"/>
      <c r="J13" s="17" t="s">
        <v>97</v>
      </c>
      <c r="K13" s="17"/>
      <c r="L13" s="17" t="s">
        <v>97</v>
      </c>
      <c r="M13" s="17"/>
      <c r="N13" s="18"/>
      <c r="O13" s="18"/>
      <c r="P13" s="18"/>
      <c r="Q13" s="18" t="s">
        <v>97</v>
      </c>
      <c r="R13" s="18"/>
      <c r="S13" s="19"/>
      <c r="T13" s="19"/>
      <c r="U13" s="19"/>
      <c r="V13" s="19"/>
      <c r="W13" s="19"/>
      <c r="X13" s="19" t="s">
        <v>97</v>
      </c>
      <c r="Y13" s="19"/>
    </row>
    <row r="14" spans="2:28" ht="77.5" x14ac:dyDescent="0.35">
      <c r="B14" s="14" t="s">
        <v>106</v>
      </c>
      <c r="C14" s="14" t="s">
        <v>110</v>
      </c>
      <c r="D14" s="15" t="s">
        <v>111</v>
      </c>
      <c r="E14" s="16" t="s">
        <v>113</v>
      </c>
      <c r="F14" s="17" t="s">
        <v>97</v>
      </c>
      <c r="G14" s="17"/>
      <c r="H14" s="17" t="s">
        <v>97</v>
      </c>
      <c r="I14" s="17"/>
      <c r="J14" s="17" t="s">
        <v>97</v>
      </c>
      <c r="K14" s="17"/>
      <c r="L14" s="17"/>
      <c r="M14" s="17" t="s">
        <v>97</v>
      </c>
      <c r="N14" s="18"/>
      <c r="O14" s="18"/>
      <c r="P14" s="18"/>
      <c r="Q14" s="18"/>
      <c r="R14" s="18" t="s">
        <v>97</v>
      </c>
      <c r="S14" s="19"/>
      <c r="T14" s="19" t="s">
        <v>97</v>
      </c>
      <c r="U14" s="19"/>
      <c r="V14" s="19"/>
      <c r="W14" s="19"/>
      <c r="X14" s="19"/>
      <c r="Y14" s="19"/>
    </row>
    <row r="16" spans="2:28" ht="15.5" x14ac:dyDescent="0.35">
      <c r="B16" s="20"/>
    </row>
  </sheetData>
  <mergeCells count="28">
    <mergeCell ref="C8:C9"/>
    <mergeCell ref="L8:M8"/>
    <mergeCell ref="E7:E9"/>
    <mergeCell ref="F7:O7"/>
    <mergeCell ref="P7:U7"/>
    <mergeCell ref="H8:I8"/>
    <mergeCell ref="J8:K8"/>
    <mergeCell ref="S8:S9"/>
    <mergeCell ref="N8:N9"/>
    <mergeCell ref="O8:O9"/>
    <mergeCell ref="P8:P9"/>
    <mergeCell ref="Q8:Q9"/>
    <mergeCell ref="D1:G1"/>
    <mergeCell ref="B3:F3"/>
    <mergeCell ref="B6:B9"/>
    <mergeCell ref="C6:C7"/>
    <mergeCell ref="D6:D7"/>
    <mergeCell ref="E6:AB6"/>
    <mergeCell ref="W8:W9"/>
    <mergeCell ref="X8:X9"/>
    <mergeCell ref="D8:D9"/>
    <mergeCell ref="F8:G8"/>
    <mergeCell ref="T8:T9"/>
    <mergeCell ref="U8:U9"/>
    <mergeCell ref="V8:V9"/>
    <mergeCell ref="R8:R9"/>
    <mergeCell ref="V7:AB7"/>
    <mergeCell ref="Y8:Y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B1:N16"/>
  <sheetViews>
    <sheetView workbookViewId="0">
      <selection activeCell="F22" sqref="F22"/>
    </sheetView>
  </sheetViews>
  <sheetFormatPr defaultColWidth="8.90625" defaultRowHeight="14.5" x14ac:dyDescent="0.35"/>
  <cols>
    <col min="3" max="3" width="7.1796875" bestFit="1" customWidth="1"/>
    <col min="4" max="4" width="11.26953125" bestFit="1" customWidth="1"/>
    <col min="5" max="5" width="9" bestFit="1" customWidth="1"/>
    <col min="6" max="6" width="16.08984375" bestFit="1" customWidth="1"/>
    <col min="7" max="7" width="10.81640625" bestFit="1" customWidth="1"/>
    <col min="8" max="8" width="10" bestFit="1" customWidth="1"/>
    <col min="10" max="10" width="7.1796875" bestFit="1" customWidth="1"/>
    <col min="11" max="11" width="10.08984375" bestFit="1" customWidth="1"/>
    <col min="12" max="12" width="10.08984375" customWidth="1"/>
    <col min="13" max="13" width="16.08984375" bestFit="1" customWidth="1"/>
    <col min="15" max="15" width="12.26953125" customWidth="1"/>
  </cols>
  <sheetData>
    <row r="1" spans="2:14" x14ac:dyDescent="0.35">
      <c r="B1" s="12"/>
      <c r="D1" s="44" t="s">
        <v>73</v>
      </c>
      <c r="E1" s="45"/>
      <c r="F1" s="45"/>
      <c r="G1" s="46"/>
    </row>
    <row r="3" spans="2:14" x14ac:dyDescent="0.35">
      <c r="B3" s="47" t="s">
        <v>28</v>
      </c>
      <c r="C3" s="47"/>
      <c r="D3" s="47"/>
      <c r="E3" s="47"/>
      <c r="F3" s="47"/>
      <c r="G3" s="47"/>
      <c r="H3" s="47"/>
      <c r="I3" s="47"/>
      <c r="J3" s="47"/>
      <c r="K3" s="47"/>
      <c r="L3" s="47"/>
    </row>
    <row r="4" spans="2:14" x14ac:dyDescent="0.35">
      <c r="B4" s="48" t="s">
        <v>6</v>
      </c>
      <c r="C4" s="57" t="s">
        <v>8</v>
      </c>
      <c r="D4" s="59" t="s">
        <v>27</v>
      </c>
      <c r="E4" s="50" t="s">
        <v>1</v>
      </c>
      <c r="F4" s="56"/>
      <c r="G4" s="56"/>
      <c r="H4" s="56"/>
      <c r="I4" s="56"/>
      <c r="J4" s="51"/>
      <c r="K4" s="50" t="s">
        <v>2</v>
      </c>
      <c r="L4" s="51"/>
    </row>
    <row r="5" spans="2:14" ht="15" thickBot="1" x14ac:dyDescent="0.4">
      <c r="B5" s="49"/>
      <c r="C5" s="58"/>
      <c r="D5" s="60"/>
      <c r="E5" s="2" t="s">
        <v>0</v>
      </c>
      <c r="F5" s="2" t="s">
        <v>0</v>
      </c>
      <c r="G5" s="2" t="s">
        <v>0</v>
      </c>
      <c r="H5" s="2" t="s">
        <v>0</v>
      </c>
      <c r="I5" s="52" t="s">
        <v>0</v>
      </c>
      <c r="J5" s="53"/>
      <c r="K5" s="2" t="s">
        <v>3</v>
      </c>
      <c r="L5" s="2" t="s">
        <v>4</v>
      </c>
    </row>
    <row r="6" spans="2:14" ht="15" thickTop="1" x14ac:dyDescent="0.35">
      <c r="B6" s="21">
        <v>9</v>
      </c>
      <c r="C6" s="54" t="s">
        <v>42</v>
      </c>
      <c r="D6" s="4" t="s">
        <v>48</v>
      </c>
      <c r="E6" s="22" t="s">
        <v>0</v>
      </c>
      <c r="F6" s="22" t="s">
        <v>0</v>
      </c>
      <c r="G6" s="22" t="s">
        <v>5</v>
      </c>
      <c r="H6" s="22" t="s">
        <v>0</v>
      </c>
      <c r="I6" s="61" t="s">
        <v>0</v>
      </c>
      <c r="J6" s="62"/>
      <c r="K6" s="22" t="s">
        <v>0</v>
      </c>
      <c r="L6" s="21" t="s">
        <v>0</v>
      </c>
    </row>
    <row r="7" spans="2:14" x14ac:dyDescent="0.35">
      <c r="B7" s="21">
        <v>10</v>
      </c>
      <c r="C7" s="54"/>
      <c r="D7" s="4" t="s">
        <v>49</v>
      </c>
      <c r="E7" s="21">
        <v>5</v>
      </c>
      <c r="F7" s="21">
        <v>6</v>
      </c>
      <c r="G7" s="21" t="s">
        <v>5</v>
      </c>
      <c r="H7" s="21" t="s">
        <v>0</v>
      </c>
      <c r="I7" s="50" t="s">
        <v>0</v>
      </c>
      <c r="J7" s="51"/>
      <c r="K7" s="21" t="s">
        <v>0</v>
      </c>
      <c r="L7" s="21" t="s">
        <v>0</v>
      </c>
    </row>
    <row r="8" spans="2:14" x14ac:dyDescent="0.35">
      <c r="B8" s="21">
        <v>11</v>
      </c>
      <c r="C8" s="54"/>
      <c r="D8" s="10" t="s">
        <v>0</v>
      </c>
      <c r="E8" s="21" t="s">
        <v>0</v>
      </c>
      <c r="F8" s="21" t="s">
        <v>0</v>
      </c>
      <c r="G8" s="21" t="s">
        <v>5</v>
      </c>
      <c r="H8" s="21" t="s">
        <v>0</v>
      </c>
      <c r="I8" s="50" t="s">
        <v>0</v>
      </c>
      <c r="J8" s="51"/>
      <c r="K8" s="21" t="s">
        <v>0</v>
      </c>
      <c r="L8" s="21" t="s">
        <v>0</v>
      </c>
    </row>
    <row r="9" spans="2:14" x14ac:dyDescent="0.35">
      <c r="B9" s="21">
        <v>12</v>
      </c>
      <c r="C9" s="54"/>
      <c r="D9" s="10" t="s">
        <v>0</v>
      </c>
      <c r="E9" s="21" t="s">
        <v>0</v>
      </c>
      <c r="F9" s="21" t="s">
        <v>0</v>
      </c>
      <c r="G9" s="21" t="s">
        <v>5</v>
      </c>
      <c r="H9" s="21" t="s">
        <v>0</v>
      </c>
      <c r="I9" s="50" t="s">
        <v>0</v>
      </c>
      <c r="J9" s="51"/>
      <c r="K9" s="21" t="s">
        <v>0</v>
      </c>
      <c r="L9" s="21" t="s">
        <v>0</v>
      </c>
    </row>
    <row r="10" spans="2:14" ht="15" thickBot="1" x14ac:dyDescent="0.4">
      <c r="B10" s="2">
        <v>13</v>
      </c>
      <c r="C10" s="55"/>
      <c r="D10" s="9" t="s">
        <v>0</v>
      </c>
      <c r="E10" s="2" t="s">
        <v>0</v>
      </c>
      <c r="F10" s="2" t="s">
        <v>0</v>
      </c>
      <c r="G10" s="2" t="s">
        <v>5</v>
      </c>
      <c r="H10" s="2" t="s">
        <v>0</v>
      </c>
      <c r="I10" s="52" t="s">
        <v>0</v>
      </c>
      <c r="J10" s="53"/>
      <c r="K10" s="2" t="s">
        <v>0</v>
      </c>
      <c r="L10" s="2" t="s">
        <v>0</v>
      </c>
    </row>
    <row r="11" spans="2:14" ht="15" thickTop="1" x14ac:dyDescent="0.3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2:14" ht="15" thickBot="1" x14ac:dyDescent="0.4">
      <c r="B12" s="3" t="s">
        <v>9</v>
      </c>
      <c r="K12" s="23"/>
    </row>
    <row r="13" spans="2:14" ht="15.5" thickTop="1" thickBot="1" x14ac:dyDescent="0.4">
      <c r="B13" s="42" t="s">
        <v>61</v>
      </c>
      <c r="C13" s="43"/>
      <c r="D13" s="43"/>
      <c r="E13" s="43"/>
      <c r="F13" s="63" t="s">
        <v>62</v>
      </c>
      <c r="G13" s="64"/>
      <c r="H13" s="42" t="s">
        <v>63</v>
      </c>
      <c r="I13" s="43"/>
      <c r="J13" s="43"/>
      <c r="K13" s="43"/>
      <c r="L13" s="73"/>
      <c r="M13" s="78" t="s">
        <v>64</v>
      </c>
      <c r="N13" s="79"/>
    </row>
    <row r="14" spans="2:14" ht="15" thickTop="1" x14ac:dyDescent="0.35">
      <c r="B14" s="77" t="s">
        <v>38</v>
      </c>
      <c r="C14" s="69" t="s">
        <v>39</v>
      </c>
      <c r="D14" s="69" t="s">
        <v>40</v>
      </c>
      <c r="E14" s="81" t="s">
        <v>65</v>
      </c>
      <c r="F14" s="66" t="s">
        <v>66</v>
      </c>
      <c r="G14" s="65" t="s">
        <v>67</v>
      </c>
      <c r="H14" s="67" t="s">
        <v>68</v>
      </c>
      <c r="I14" s="69" t="s">
        <v>38</v>
      </c>
      <c r="J14" s="69" t="s">
        <v>39</v>
      </c>
      <c r="K14" s="71" t="s">
        <v>41</v>
      </c>
      <c r="L14" s="74" t="s">
        <v>69</v>
      </c>
      <c r="M14" s="76" t="s">
        <v>70</v>
      </c>
      <c r="N14" s="57" t="s">
        <v>71</v>
      </c>
    </row>
    <row r="15" spans="2:14" x14ac:dyDescent="0.35">
      <c r="B15" s="80"/>
      <c r="C15" s="70"/>
      <c r="D15" s="70"/>
      <c r="E15" s="82"/>
      <c r="F15" s="83"/>
      <c r="G15" s="65"/>
      <c r="H15" s="68"/>
      <c r="I15" s="70"/>
      <c r="J15" s="70"/>
      <c r="K15" s="72"/>
      <c r="L15" s="75"/>
      <c r="M15" s="77"/>
      <c r="N15" s="66"/>
    </row>
    <row r="16" spans="2:14" x14ac:dyDescent="0.35">
      <c r="B16" s="27">
        <f>SUM(C16:D16)</f>
        <v>0</v>
      </c>
      <c r="C16" s="24">
        <v>0</v>
      </c>
      <c r="D16" s="24">
        <v>0</v>
      </c>
      <c r="E16" s="25"/>
      <c r="F16" s="26"/>
      <c r="G16" s="8" t="s">
        <v>72</v>
      </c>
      <c r="H16" s="7" t="s">
        <v>72</v>
      </c>
      <c r="I16" s="27">
        <f>SUM(J16:K16)</f>
        <v>0</v>
      </c>
      <c r="J16" s="24">
        <v>0</v>
      </c>
      <c r="K16" s="28">
        <v>0</v>
      </c>
      <c r="L16" s="29"/>
      <c r="M16" s="6" t="s">
        <v>72</v>
      </c>
      <c r="N16" s="30">
        <f>C16</f>
        <v>0</v>
      </c>
    </row>
  </sheetData>
  <mergeCells count="31">
    <mergeCell ref="H13:L13"/>
    <mergeCell ref="L14:L15"/>
    <mergeCell ref="M14:M15"/>
    <mergeCell ref="M13:N13"/>
    <mergeCell ref="B14:B15"/>
    <mergeCell ref="C14:C15"/>
    <mergeCell ref="D14:D15"/>
    <mergeCell ref="E14:E15"/>
    <mergeCell ref="F14:F15"/>
    <mergeCell ref="G14:G15"/>
    <mergeCell ref="N14:N15"/>
    <mergeCell ref="H14:H15"/>
    <mergeCell ref="I14:I15"/>
    <mergeCell ref="K14:K15"/>
    <mergeCell ref="J14:J15"/>
    <mergeCell ref="B13:E13"/>
    <mergeCell ref="D1:G1"/>
    <mergeCell ref="B3:L3"/>
    <mergeCell ref="B4:B5"/>
    <mergeCell ref="I9:J9"/>
    <mergeCell ref="I5:J5"/>
    <mergeCell ref="K4:L4"/>
    <mergeCell ref="C6:C10"/>
    <mergeCell ref="E4:J4"/>
    <mergeCell ref="C4:C5"/>
    <mergeCell ref="D4:D5"/>
    <mergeCell ref="I6:J6"/>
    <mergeCell ref="I7:J7"/>
    <mergeCell ref="I10:J10"/>
    <mergeCell ref="I8:J8"/>
    <mergeCell ref="F13:G1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2F5940-EC19-4D08-A8C2-FA31EF73407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ECFCB93-350B-4228-B7F4-DB12383611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4B7F00-F329-4E8F-A3EE-411E39CDE6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4</vt:i4>
      </vt:variant>
    </vt:vector>
  </HeadingPairs>
  <TitlesOfParts>
    <vt:vector size="4" baseType="lpstr">
      <vt:lpstr>Statement</vt:lpstr>
      <vt:lpstr>F02.CFG-Paths</vt:lpstr>
      <vt:lpstr>F02.TCs</vt:lpstr>
      <vt:lpstr>WBT-TCs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2026-03-26T11:22:31Z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